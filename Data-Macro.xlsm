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Excel VBA &amp; Macros\"/>
    </mc:Choice>
  </mc:AlternateContent>
  <xr:revisionPtr revIDLastSave="0" documentId="13_ncr:1_{3035591C-0D59-41CC-A3AA-E6C5AB36845B}" xr6:coauthVersionLast="47" xr6:coauthVersionMax="47" xr10:uidLastSave="{00000000-0000-0000-0000-000000000000}"/>
  <bookViews>
    <workbookView xWindow="0" yWindow="0" windowWidth="19200" windowHeight="10080" xr2:uid="{83FCB3E8-3B8F-4A48-9974-7D98290CA456}"/>
  </bookViews>
  <sheets>
    <sheet name="Raw_Data" sheetId="1" r:id="rId1"/>
    <sheet name="Sheet3" sheetId="3" r:id="rId2"/>
    <sheet name="Sheet5" sheetId="5" r:id="rId3"/>
  </sheets>
  <calcPr calcId="191029"/>
  <pivotCaches>
    <pivotCache cacheId="3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</calcChain>
</file>

<file path=xl/sharedStrings.xml><?xml version="1.0" encoding="utf-8"?>
<sst xmlns="http://schemas.openxmlformats.org/spreadsheetml/2006/main" count="80" uniqueCount="44">
  <si>
    <t xml:space="preserve"> ID </t>
  </si>
  <si>
    <t xml:space="preserve"> Age </t>
  </si>
  <si>
    <t xml:space="preserve"> Joining_Date </t>
  </si>
  <si>
    <t xml:space="preserve"> 123-456-7890 </t>
  </si>
  <si>
    <t xml:space="preserve"> 987-654-3210 </t>
  </si>
  <si>
    <t xml:space="preserve"> 555-123-4567 </t>
  </si>
  <si>
    <t xml:space="preserve"> 333-888-1111 </t>
  </si>
  <si>
    <t xml:space="preserve"> 777-999-4444 </t>
  </si>
  <si>
    <t xml:space="preserve"> Name   </t>
  </si>
  <si>
    <t xml:space="preserve"> Salary </t>
  </si>
  <si>
    <t xml:space="preserve"> Department  </t>
  </si>
  <si>
    <t xml:space="preserve"> Bonus  </t>
  </si>
  <si>
    <t xml:space="preserve"> Phone    </t>
  </si>
  <si>
    <t xml:space="preserve"> John   </t>
  </si>
  <si>
    <t xml:space="preserve"> Marketing  </t>
  </si>
  <si>
    <t xml:space="preserve"> 2022-01-10  </t>
  </si>
  <si>
    <t xml:space="preserve"> Jane   </t>
  </si>
  <si>
    <t xml:space="preserve"> Sales    </t>
  </si>
  <si>
    <t xml:space="preserve"> 2022-02-15  </t>
  </si>
  <si>
    <t xml:space="preserve"> Alex   </t>
  </si>
  <si>
    <t xml:space="preserve"> 2022-03-20  </t>
  </si>
  <si>
    <t xml:space="preserve"> Mary   </t>
  </si>
  <si>
    <t xml:space="preserve"> HR      </t>
  </si>
  <si>
    <t xml:space="preserve"> 2022-04-25  </t>
  </si>
  <si>
    <t xml:space="preserve"> 2022-05-30  </t>
  </si>
  <si>
    <t xml:space="preserve"> IT      </t>
  </si>
  <si>
    <t xml:space="preserve"> 2022-06-05  </t>
  </si>
  <si>
    <t xml:space="preserve"> 2022-07-10  </t>
  </si>
  <si>
    <t xml:space="preserve"> 2022-08-15  </t>
  </si>
  <si>
    <t xml:space="preserve"> 2022-09-20  </t>
  </si>
  <si>
    <t xml:space="preserve"> 2022-10-25  </t>
  </si>
  <si>
    <t xml:space="preserve"> 2022-11-30  </t>
  </si>
  <si>
    <t xml:space="preserve"> 2022-12-05  </t>
  </si>
  <si>
    <t xml:space="preserve"> 2023-01-10  </t>
  </si>
  <si>
    <t xml:space="preserve"> 2023-02-15  </t>
  </si>
  <si>
    <t xml:space="preserve"> 2023-03-20  </t>
  </si>
  <si>
    <t>Join_Year</t>
  </si>
  <si>
    <t>Join_Month</t>
  </si>
  <si>
    <t>Total_Compensation</t>
  </si>
  <si>
    <t>Row Labels</t>
  </si>
  <si>
    <t>(blank)</t>
  </si>
  <si>
    <t>Grand Total</t>
  </si>
  <si>
    <t>Sum of Total_Compensation</t>
  </si>
  <si>
    <t>This is a report on Macro and VBA for Data Analytics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</si>
</sst>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" fontId="0" fillId="0" borderId="0" xfId="0" applyNumberFormat="1"/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1" fontId="0" fillId="2" borderId="0" xfId="0" applyNumberFormat="1" applyFill="1"/>
    <xf numFmtId="0" fontId="0" fillId="2" borderId="0" xfId="0" applyFill="1"/>
  </cellXfs>
  <cellStyles count="1">
    <cellStyle name="Normal" xfId="0" builtinId="0"/>
  </cellStyles>
  <dxfs count="2">
    <dxf>
      <numFmt numFmtId="30" formatCode="@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[Data-Macro.xlsm]Sheet3!PivotTable1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Sheet3!$A$4:$A$9</c:f>
              <c:strCache>
                <c:ptCount val="5"/>
                <c:pt idx="0">
                  <c:v> HR      </c:v>
                </c:pt>
                <c:pt idx="1">
                  <c:v> IT      </c:v>
                </c:pt>
                <c:pt idx="2">
                  <c:v> Marketing  </c:v>
                </c:pt>
                <c:pt idx="3">
                  <c:v> Sales    </c:v>
                </c:pt>
                <c:pt idx="4">
                  <c:v>(blank)</c:v>
                </c:pt>
              </c:strCache>
            </c:strRef>
          </c:cat>
          <c:val>
            <c:numRef>
              <c:f>Sheet3!$B$4:$B$9</c:f>
              <c:numCache>
                <c:formatCode>0</c:formatCode>
                <c:ptCount val="5"/>
                <c:pt idx="0">
                  <c:v>217500</c:v>
                </c:pt>
                <c:pt idx="1">
                  <c:v>46200</c:v>
                </c:pt>
                <c:pt idx="2">
                  <c:v>271600</c:v>
                </c:pt>
                <c:pt idx="3">
                  <c:v>186000</c:v>
                </c:pt>
                <c:pt idx="4">
                  <c:v>108800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1B-47E8-B961-DBC439C1B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0177440"/>
        <c:axId val="450183200"/>
      </c:barChart>
      <c:catAx>
        <c:axId val="45017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0183200"/>
        <c:crosses val="autoZero"/>
        <c:auto val="1"/>
        <c:lblAlgn val="ctr"/>
        <c:lblOffset val="100"/>
        <c:noMultiLvlLbl val="0"/>
      </c:catAx>
      <c:valAx>
        <c:axId val="45018320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50177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82550</xdr:colOff>
      <xdr:row>0</xdr:row>
      <xdr:rowOff>158750</xdr:rowOff>
    </xdr:from>
    <xdr:to>
      <xdr:col>9</xdr:col>
      <xdr:colOff>234950</xdr:colOff>
      <xdr:row>14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03337F-F20A-C079-0E79-30C4C24E87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k" refreshedDate="46050.945046527777" createdVersion="8" refreshedVersion="8" minRefreshableVersion="3" recordCount="16" xr:uid="{40CAC283-A4F0-4A1B-BE1C-45673D6A24F8}">
  <cacheSource type="worksheet">
    <worksheetSource name="Table1"/>
  </cacheSource>
  <cacheFields count="11">
    <cacheField name=" ID " numFmtId="0">
      <sharedItems containsSemiMixedTypes="0" containsString="0" containsNumber="1" containsInteger="1" minValue="1" maxValue="15"/>
    </cacheField>
    <cacheField name=" Name   " numFmtId="0">
      <sharedItems containsBlank="1"/>
    </cacheField>
    <cacheField name=" Age " numFmtId="0">
      <sharedItems containsString="0" containsBlank="1" containsNumber="1" containsInteger="1" minValue="25" maxValue="40"/>
    </cacheField>
    <cacheField name=" Salary " numFmtId="0">
      <sharedItems containsString="0" containsBlank="1" containsNumber="1" containsInteger="1" minValue="45000" maxValue="70000"/>
    </cacheField>
    <cacheField name=" Department  " numFmtId="49">
      <sharedItems containsBlank="1" count="5">
        <s v=" Marketing  "/>
        <s v=" Sales    "/>
        <m/>
        <s v=" HR      "/>
        <s v=" IT      "/>
      </sharedItems>
    </cacheField>
    <cacheField name=" Joining_Date " numFmtId="0">
      <sharedItems/>
    </cacheField>
    <cacheField name=" Bonus  " numFmtId="0">
      <sharedItems containsSemiMixedTypes="0" containsString="0" containsNumber="1" containsInteger="1" minValue="1200" maxValue="2500"/>
    </cacheField>
    <cacheField name=" Phone    " numFmtId="0">
      <sharedItems/>
    </cacheField>
    <cacheField name="Join_Year" numFmtId="0">
      <sharedItems containsSemiMixedTypes="0" containsString="0" containsNumber="1" containsInteger="1" minValue="2022" maxValue="2023"/>
    </cacheField>
    <cacheField name="Join_Month" numFmtId="0">
      <sharedItems/>
    </cacheField>
    <cacheField name="Total_Compensation" numFmtId="1">
      <sharedItems containsSemiMixedTypes="0" containsString="0" containsNumber="1" containsInteger="1" minValue="1500" maxValue="72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1"/>
    <s v=" John   "/>
    <n v="30"/>
    <n v="50000"/>
    <x v="0"/>
    <s v=" 2022-01-10  "/>
    <n v="2000"/>
    <s v=" 123-456-7890 "/>
    <n v="2022"/>
    <s v="January"/>
    <n v="52000"/>
  </r>
  <r>
    <n v="2"/>
    <s v=" Jane   "/>
    <n v="25"/>
    <n v="60000"/>
    <x v="1"/>
    <s v=" 2022-02-15  "/>
    <n v="1500"/>
    <s v=" 987-654-3210 "/>
    <n v="2022"/>
    <s v="February"/>
    <n v="61500"/>
  </r>
  <r>
    <n v="3"/>
    <s v=" Alex   "/>
    <m/>
    <n v="55000"/>
    <x v="2"/>
    <s v=" 2022-03-20  "/>
    <n v="1800"/>
    <s v=" 555-123-4567 "/>
    <n v="2022"/>
    <s v="March"/>
    <n v="56800"/>
  </r>
  <r>
    <n v="4"/>
    <s v=" Mary   "/>
    <n v="40"/>
    <n v="70000"/>
    <x v="3"/>
    <s v=" 2022-04-25  "/>
    <n v="2500"/>
    <s v=" 333-888-1111 "/>
    <n v="2022"/>
    <s v="April"/>
    <n v="72500"/>
  </r>
  <r>
    <n v="5"/>
    <s v=" John   "/>
    <n v="30"/>
    <m/>
    <x v="0"/>
    <s v=" 2022-05-30  "/>
    <n v="2000"/>
    <s v=" 123-456-7890 "/>
    <n v="2022"/>
    <s v="May"/>
    <n v="2000"/>
  </r>
  <r>
    <n v="6"/>
    <m/>
    <n v="28"/>
    <n v="45000"/>
    <x v="4"/>
    <s v=" 2022-06-05  "/>
    <n v="1200"/>
    <s v=" 777-999-4444 "/>
    <n v="2022"/>
    <s v="June"/>
    <n v="46200"/>
  </r>
  <r>
    <n v="7"/>
    <s v=" Jane   "/>
    <n v="25"/>
    <n v="60000"/>
    <x v="1"/>
    <s v=" 2022-07-10  "/>
    <n v="1500"/>
    <s v=" 987-654-3210 "/>
    <n v="2022"/>
    <s v="July"/>
    <n v="61500"/>
  </r>
  <r>
    <n v="8"/>
    <s v=" Alex   "/>
    <n v="35"/>
    <n v="55000"/>
    <x v="0"/>
    <s v=" 2022-08-15  "/>
    <n v="1800"/>
    <s v=" 555-123-4567 "/>
    <n v="2022"/>
    <s v="August"/>
    <n v="56800"/>
  </r>
  <r>
    <n v="9"/>
    <s v=" Mary   "/>
    <n v="40"/>
    <n v="70000"/>
    <x v="3"/>
    <s v=" 2022-09-20  "/>
    <n v="2500"/>
    <s v=" 333-888-1111 "/>
    <n v="2022"/>
    <s v="September"/>
    <n v="72500"/>
  </r>
  <r>
    <n v="10"/>
    <s v=" John   "/>
    <n v="30"/>
    <n v="50000"/>
    <x v="0"/>
    <s v=" 2022-10-25  "/>
    <n v="2000"/>
    <s v=" 123-456-7890 "/>
    <n v="2022"/>
    <s v="October"/>
    <n v="52000"/>
  </r>
  <r>
    <n v="11"/>
    <s v=" Jane   "/>
    <m/>
    <m/>
    <x v="1"/>
    <s v=" 2022-11-30  "/>
    <n v="1500"/>
    <s v=" 987-654-3210 "/>
    <n v="2022"/>
    <s v="November"/>
    <n v="1500"/>
  </r>
  <r>
    <n v="12"/>
    <s v=" Alex   "/>
    <n v="35"/>
    <n v="55000"/>
    <x v="0"/>
    <s v=" 2022-12-05  "/>
    <n v="1800"/>
    <s v=" 555-123-4567 "/>
    <n v="2022"/>
    <s v="December"/>
    <n v="56800"/>
  </r>
  <r>
    <n v="13"/>
    <s v=" Mary   "/>
    <n v="40"/>
    <n v="70000"/>
    <x v="3"/>
    <s v=" 2023-01-10  "/>
    <n v="2500"/>
    <s v=" 333-888-1111 "/>
    <n v="2023"/>
    <s v="January"/>
    <n v="72500"/>
  </r>
  <r>
    <n v="14"/>
    <s v=" John   "/>
    <n v="30"/>
    <n v="50000"/>
    <x v="2"/>
    <s v=" 2023-02-15  "/>
    <n v="2000"/>
    <s v=" 123-456-7890 "/>
    <n v="2023"/>
    <s v="February"/>
    <n v="52000"/>
  </r>
  <r>
    <n v="15"/>
    <s v=" Jane   "/>
    <n v="25"/>
    <n v="60000"/>
    <x v="1"/>
    <s v=" 2023-03-20  "/>
    <n v="1500"/>
    <s v=" 987-654-3210 "/>
    <n v="2023"/>
    <s v="March"/>
    <n v="61500"/>
  </r>
  <r>
    <n v="10"/>
    <m/>
    <n v="30"/>
    <n v="50000"/>
    <x v="0"/>
    <s v=" 2022-10-25  "/>
    <n v="2000"/>
    <s v=" 123-456-7890 "/>
    <n v="2022"/>
    <s v="October"/>
    <n v="52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21C316-F3AE-4DD0-9E72-253566DDD474}" name="PivotTable1" cacheId="31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A3:B9" firstHeaderRow="1" firstDataRow="1" firstDataCol="1"/>
  <pivotFields count="11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6">
        <item x="3"/>
        <item x="4"/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_Compensation" fld="10" baseField="0" baseItem="0" numFmtId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0CC865-8135-4488-A743-7DF8FE85C3AE}" name="Table1" displayName="Table1" ref="A1:K17" totalsRowShown="0">
  <autoFilter ref="A1:K17" xr:uid="{310CC865-8135-4488-A743-7DF8FE85C3AE}"/>
  <tableColumns count="11">
    <tableColumn id="1" xr3:uid="{9B379B27-AD1D-48D0-BA71-CEEFB4A21A64}" name=" ID "/>
    <tableColumn id="2" xr3:uid="{EF560349-A740-4C7A-BDD4-1FFBAA702A0F}" name=" Name   "/>
    <tableColumn id="3" xr3:uid="{D92A83D9-221A-4CAC-A18D-BB2E2D516515}" name=" Age "/>
    <tableColumn id="4" xr3:uid="{50A1B037-F61A-41CA-B219-6E0485F63825}" name=" Salary "/>
    <tableColumn id="5" xr3:uid="{63D2C87D-6CF9-4F93-AC0E-B4ADDAE63305}" name=" Department  " dataDxfId="0"/>
    <tableColumn id="6" xr3:uid="{FF9E1538-7B4D-4DB0-A61F-5AD33A142031}" name=" Joining_Date "/>
    <tableColumn id="7" xr3:uid="{CF1F25B9-4EC5-45D2-99F2-C6B4190080EC}" name=" Bonus  "/>
    <tableColumn id="8" xr3:uid="{5A9DF219-0207-4534-A67D-1C37C19DED3D}" name=" Phone    "/>
    <tableColumn id="9" xr3:uid="{2D3257FA-2B57-483F-AE80-EC54184D319F}" name="Join_Year">
      <calculatedColumnFormula>YEAR(VALUE(F2))</calculatedColumnFormula>
    </tableColumn>
    <tableColumn id="10" xr3:uid="{C6C609D2-DA9F-4DD6-9F89-DADD0AA38CE4}" name="Join_Month">
      <calculatedColumnFormula>TEXT(VALUE(F2),"mmmm")</calculatedColumnFormula>
    </tableColumn>
    <tableColumn id="11" xr3:uid="{EDBAB108-0968-4A81-888D-EFDBC95FD84A}" name="Total_Compensation" dataDxfId="1">
      <calculatedColumnFormula>D2+G2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3E9CC-01AD-46F5-917A-76F144D1405E}">
  <sheetPr codeName="Sheet1"/>
  <dimension ref="A1:K17"/>
  <sheetViews>
    <sheetView tabSelected="1" workbookViewId="0">
      <selection activeCell="L10" sqref="L10"/>
    </sheetView>
  </sheetViews>
  <sheetFormatPr defaultRowHeight="14.5" x14ac:dyDescent="0.35"/>
  <cols>
    <col min="1" max="1" width="5.81640625" bestFit="1" customWidth="1"/>
    <col min="2" max="2" width="10.7265625" bestFit="1" customWidth="1"/>
    <col min="3" max="3" width="7.08984375" bestFit="1" customWidth="1"/>
    <col min="4" max="4" width="9.453125" bestFit="1" customWidth="1"/>
    <col min="5" max="5" width="15.26953125" bestFit="1" customWidth="1"/>
    <col min="6" max="6" width="14.7265625" bestFit="1" customWidth="1"/>
    <col min="7" max="7" width="10.54296875" bestFit="1" customWidth="1"/>
    <col min="8" max="8" width="13.08984375" bestFit="1" customWidth="1"/>
    <col min="9" max="9" width="11.08984375" bestFit="1" customWidth="1"/>
    <col min="10" max="10" width="13.08984375" bestFit="1" customWidth="1"/>
    <col min="11" max="11" width="20.7265625" bestFit="1" customWidth="1"/>
  </cols>
  <sheetData>
    <row r="1" spans="1:11" x14ac:dyDescent="0.35">
      <c r="A1" t="s">
        <v>0</v>
      </c>
      <c r="B1" t="s">
        <v>8</v>
      </c>
      <c r="C1" t="s">
        <v>1</v>
      </c>
      <c r="D1" t="s">
        <v>9</v>
      </c>
      <c r="E1" t="s">
        <v>10</v>
      </c>
      <c r="F1" t="s">
        <v>2</v>
      </c>
      <c r="G1" t="s">
        <v>11</v>
      </c>
      <c r="H1" t="s">
        <v>12</v>
      </c>
      <c r="I1" t="s">
        <v>36</v>
      </c>
      <c r="J1" t="s">
        <v>37</v>
      </c>
      <c r="K1" t="s">
        <v>38</v>
      </c>
    </row>
    <row r="2" spans="1:11" x14ac:dyDescent="0.35">
      <c r="A2">
        <v>1</v>
      </c>
      <c r="B2" t="s">
        <v>13</v>
      </c>
      <c r="C2">
        <v>30</v>
      </c>
      <c r="D2">
        <v>50000</v>
      </c>
      <c r="E2" s="2" t="s">
        <v>14</v>
      </c>
      <c r="F2" t="s">
        <v>15</v>
      </c>
      <c r="G2">
        <v>2000</v>
      </c>
      <c r="H2" t="s">
        <v>3</v>
      </c>
      <c r="I2">
        <f t="shared" ref="I2:I17" si="0">YEAR(VALUE(F2))</f>
        <v>2022</v>
      </c>
      <c r="J2" t="str">
        <f t="shared" ref="J2:J17" si="1">TEXT(VALUE(F2),"mmmm")</f>
        <v>January</v>
      </c>
      <c r="K2" s="1">
        <f t="shared" ref="K2:K17" si="2">D2+G2</f>
        <v>52000</v>
      </c>
    </row>
    <row r="3" spans="1:11" x14ac:dyDescent="0.35">
      <c r="A3">
        <v>2</v>
      </c>
      <c r="B3" t="s">
        <v>16</v>
      </c>
      <c r="C3">
        <v>25</v>
      </c>
      <c r="D3">
        <v>60000</v>
      </c>
      <c r="E3" s="2" t="s">
        <v>17</v>
      </c>
      <c r="F3" t="s">
        <v>18</v>
      </c>
      <c r="G3">
        <v>1500</v>
      </c>
      <c r="H3" t="s">
        <v>4</v>
      </c>
      <c r="I3">
        <f t="shared" si="0"/>
        <v>2022</v>
      </c>
      <c r="J3" t="str">
        <f t="shared" si="1"/>
        <v>February</v>
      </c>
      <c r="K3" s="1">
        <f t="shared" si="2"/>
        <v>61500</v>
      </c>
    </row>
    <row r="4" spans="1:11" x14ac:dyDescent="0.35">
      <c r="A4">
        <v>3</v>
      </c>
      <c r="B4" t="s">
        <v>19</v>
      </c>
      <c r="C4">
        <v>20</v>
      </c>
      <c r="D4">
        <v>55000</v>
      </c>
      <c r="E4" s="2"/>
      <c r="F4" t="s">
        <v>20</v>
      </c>
      <c r="G4">
        <v>1800</v>
      </c>
      <c r="H4" t="s">
        <v>5</v>
      </c>
      <c r="I4">
        <f t="shared" si="0"/>
        <v>2022</v>
      </c>
      <c r="J4" t="str">
        <f t="shared" si="1"/>
        <v>March</v>
      </c>
      <c r="K4" s="1">
        <f t="shared" si="2"/>
        <v>56800</v>
      </c>
    </row>
    <row r="5" spans="1:11" x14ac:dyDescent="0.35">
      <c r="A5">
        <v>4</v>
      </c>
      <c r="B5" t="s">
        <v>21</v>
      </c>
      <c r="C5">
        <v>40</v>
      </c>
      <c r="D5">
        <v>70000</v>
      </c>
      <c r="E5" s="2" t="s">
        <v>22</v>
      </c>
      <c r="F5" t="s">
        <v>23</v>
      </c>
      <c r="G5">
        <v>2500</v>
      </c>
      <c r="H5" t="s">
        <v>6</v>
      </c>
      <c r="I5">
        <f t="shared" si="0"/>
        <v>2022</v>
      </c>
      <c r="J5" t="str">
        <f t="shared" si="1"/>
        <v>April</v>
      </c>
      <c r="K5" s="1">
        <f t="shared" si="2"/>
        <v>72500</v>
      </c>
    </row>
    <row r="6" spans="1:11" x14ac:dyDescent="0.35">
      <c r="A6">
        <v>5</v>
      </c>
      <c r="B6" t="s">
        <v>13</v>
      </c>
      <c r="C6">
        <v>30</v>
      </c>
      <c r="D6" s="7">
        <v>15000</v>
      </c>
      <c r="E6" s="2" t="s">
        <v>14</v>
      </c>
      <c r="F6" t="s">
        <v>24</v>
      </c>
      <c r="G6">
        <v>2000</v>
      </c>
      <c r="H6" t="s">
        <v>3</v>
      </c>
      <c r="I6">
        <f t="shared" si="0"/>
        <v>2022</v>
      </c>
      <c r="J6" t="str">
        <f t="shared" si="1"/>
        <v>May</v>
      </c>
      <c r="K6" s="6">
        <f t="shared" si="2"/>
        <v>17000</v>
      </c>
    </row>
    <row r="7" spans="1:11" x14ac:dyDescent="0.35">
      <c r="A7">
        <v>6</v>
      </c>
      <c r="C7" s="7">
        <v>8</v>
      </c>
      <c r="D7">
        <v>45000</v>
      </c>
      <c r="E7" s="2" t="s">
        <v>25</v>
      </c>
      <c r="F7" t="s">
        <v>26</v>
      </c>
      <c r="G7">
        <v>1200</v>
      </c>
      <c r="H7" t="s">
        <v>7</v>
      </c>
      <c r="I7">
        <f t="shared" si="0"/>
        <v>2022</v>
      </c>
      <c r="J7" t="str">
        <f t="shared" si="1"/>
        <v>June</v>
      </c>
      <c r="K7" s="1">
        <f t="shared" si="2"/>
        <v>46200</v>
      </c>
    </row>
    <row r="8" spans="1:11" x14ac:dyDescent="0.35">
      <c r="A8">
        <v>7</v>
      </c>
      <c r="B8" t="s">
        <v>16</v>
      </c>
      <c r="C8">
        <v>25</v>
      </c>
      <c r="D8">
        <v>60000</v>
      </c>
      <c r="E8" s="2" t="s">
        <v>17</v>
      </c>
      <c r="F8" t="s">
        <v>27</v>
      </c>
      <c r="G8">
        <v>1500</v>
      </c>
      <c r="H8" t="s">
        <v>4</v>
      </c>
      <c r="I8">
        <f t="shared" si="0"/>
        <v>2022</v>
      </c>
      <c r="J8" t="str">
        <f t="shared" si="1"/>
        <v>July</v>
      </c>
      <c r="K8" s="1">
        <f t="shared" si="2"/>
        <v>61500</v>
      </c>
    </row>
    <row r="9" spans="1:11" x14ac:dyDescent="0.35">
      <c r="A9">
        <v>8</v>
      </c>
      <c r="B9" t="s">
        <v>19</v>
      </c>
      <c r="C9">
        <v>35</v>
      </c>
      <c r="D9">
        <v>55000</v>
      </c>
      <c r="E9" s="2" t="s">
        <v>14</v>
      </c>
      <c r="F9" t="s">
        <v>28</v>
      </c>
      <c r="G9">
        <v>1800</v>
      </c>
      <c r="H9" t="s">
        <v>5</v>
      </c>
      <c r="I9">
        <f t="shared" si="0"/>
        <v>2022</v>
      </c>
      <c r="J9" t="str">
        <f t="shared" si="1"/>
        <v>August</v>
      </c>
      <c r="K9" s="1">
        <f t="shared" si="2"/>
        <v>56800</v>
      </c>
    </row>
    <row r="10" spans="1:11" x14ac:dyDescent="0.35">
      <c r="A10">
        <v>9</v>
      </c>
      <c r="B10" t="s">
        <v>21</v>
      </c>
      <c r="C10">
        <v>40</v>
      </c>
      <c r="D10">
        <v>70000</v>
      </c>
      <c r="E10" s="2" t="s">
        <v>22</v>
      </c>
      <c r="F10" t="s">
        <v>29</v>
      </c>
      <c r="G10">
        <v>2500</v>
      </c>
      <c r="H10" t="s">
        <v>6</v>
      </c>
      <c r="I10">
        <f t="shared" si="0"/>
        <v>2022</v>
      </c>
      <c r="J10" t="str">
        <f t="shared" si="1"/>
        <v>September</v>
      </c>
      <c r="K10" s="1">
        <f t="shared" si="2"/>
        <v>72500</v>
      </c>
    </row>
    <row r="11" spans="1:11" x14ac:dyDescent="0.35">
      <c r="A11">
        <v>10</v>
      </c>
      <c r="B11" t="s">
        <v>13</v>
      </c>
      <c r="C11">
        <v>30</v>
      </c>
      <c r="D11">
        <v>50000</v>
      </c>
      <c r="E11" s="2" t="s">
        <v>14</v>
      </c>
      <c r="F11" t="s">
        <v>30</v>
      </c>
      <c r="G11">
        <v>2000</v>
      </c>
      <c r="H11" t="s">
        <v>3</v>
      </c>
      <c r="I11">
        <f t="shared" si="0"/>
        <v>2022</v>
      </c>
      <c r="J11" t="str">
        <f t="shared" si="1"/>
        <v>October</v>
      </c>
      <c r="K11" s="1">
        <f t="shared" si="2"/>
        <v>52000</v>
      </c>
    </row>
    <row r="12" spans="1:11" x14ac:dyDescent="0.35">
      <c r="A12">
        <v>11</v>
      </c>
      <c r="B12" t="s">
        <v>16</v>
      </c>
      <c r="C12">
        <v>20</v>
      </c>
      <c r="D12">
        <v>30000</v>
      </c>
      <c r="E12" s="2" t="s">
        <v>17</v>
      </c>
      <c r="F12" t="s">
        <v>31</v>
      </c>
      <c r="G12">
        <v>1500</v>
      </c>
      <c r="H12" t="s">
        <v>4</v>
      </c>
      <c r="I12">
        <f t="shared" si="0"/>
        <v>2022</v>
      </c>
      <c r="J12" t="str">
        <f t="shared" si="1"/>
        <v>November</v>
      </c>
      <c r="K12" s="6">
        <f t="shared" si="2"/>
        <v>31500</v>
      </c>
    </row>
    <row r="13" spans="1:11" x14ac:dyDescent="0.35">
      <c r="A13">
        <v>12</v>
      </c>
      <c r="B13" t="s">
        <v>19</v>
      </c>
      <c r="C13">
        <v>35</v>
      </c>
      <c r="D13">
        <v>55000</v>
      </c>
      <c r="E13" s="2" t="s">
        <v>14</v>
      </c>
      <c r="F13" t="s">
        <v>32</v>
      </c>
      <c r="G13">
        <v>1800</v>
      </c>
      <c r="H13" t="s">
        <v>5</v>
      </c>
      <c r="I13">
        <f t="shared" si="0"/>
        <v>2022</v>
      </c>
      <c r="J13" t="str">
        <f t="shared" si="1"/>
        <v>December</v>
      </c>
      <c r="K13" s="1">
        <f t="shared" si="2"/>
        <v>56800</v>
      </c>
    </row>
    <row r="14" spans="1:11" x14ac:dyDescent="0.35">
      <c r="A14">
        <v>13</v>
      </c>
      <c r="B14" t="s">
        <v>21</v>
      </c>
      <c r="C14">
        <v>40</v>
      </c>
      <c r="D14">
        <v>70000</v>
      </c>
      <c r="E14" s="2" t="s">
        <v>22</v>
      </c>
      <c r="F14" t="s">
        <v>33</v>
      </c>
      <c r="G14">
        <v>2500</v>
      </c>
      <c r="H14" t="s">
        <v>6</v>
      </c>
      <c r="I14">
        <f t="shared" si="0"/>
        <v>2023</v>
      </c>
      <c r="J14" t="str">
        <f t="shared" si="1"/>
        <v>January</v>
      </c>
      <c r="K14" s="1">
        <f t="shared" si="2"/>
        <v>72500</v>
      </c>
    </row>
    <row r="15" spans="1:11" x14ac:dyDescent="0.35">
      <c r="A15">
        <v>14</v>
      </c>
      <c r="B15" t="s">
        <v>13</v>
      </c>
      <c r="C15">
        <v>30</v>
      </c>
      <c r="D15">
        <v>50000</v>
      </c>
      <c r="E15" s="2"/>
      <c r="F15" t="s">
        <v>34</v>
      </c>
      <c r="G15">
        <v>2000</v>
      </c>
      <c r="H15" t="s">
        <v>3</v>
      </c>
      <c r="I15">
        <f t="shared" si="0"/>
        <v>2023</v>
      </c>
      <c r="J15" t="str">
        <f t="shared" si="1"/>
        <v>February</v>
      </c>
      <c r="K15" s="1">
        <f t="shared" si="2"/>
        <v>52000</v>
      </c>
    </row>
    <row r="16" spans="1:11" x14ac:dyDescent="0.35">
      <c r="A16">
        <v>15</v>
      </c>
      <c r="B16" t="s">
        <v>16</v>
      </c>
      <c r="C16">
        <v>25</v>
      </c>
      <c r="D16">
        <v>60000</v>
      </c>
      <c r="E16" s="2" t="s">
        <v>17</v>
      </c>
      <c r="F16" t="s">
        <v>35</v>
      </c>
      <c r="G16">
        <v>1500</v>
      </c>
      <c r="H16" t="s">
        <v>4</v>
      </c>
      <c r="I16">
        <f t="shared" si="0"/>
        <v>2023</v>
      </c>
      <c r="J16" t="str">
        <f t="shared" si="1"/>
        <v>March</v>
      </c>
      <c r="K16" s="1">
        <f t="shared" si="2"/>
        <v>61500</v>
      </c>
    </row>
    <row r="17" spans="1:11" x14ac:dyDescent="0.35">
      <c r="A17">
        <v>10</v>
      </c>
      <c r="C17">
        <v>30</v>
      </c>
      <c r="D17">
        <v>50000</v>
      </c>
      <c r="E17" s="2" t="s">
        <v>14</v>
      </c>
      <c r="F17" t="s">
        <v>30</v>
      </c>
      <c r="G17">
        <v>2000</v>
      </c>
      <c r="H17" t="s">
        <v>3</v>
      </c>
      <c r="I17">
        <f t="shared" si="0"/>
        <v>2022</v>
      </c>
      <c r="J17" t="str">
        <f t="shared" si="1"/>
        <v>October</v>
      </c>
      <c r="K17" s="1">
        <f t="shared" si="2"/>
        <v>52000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9248-435E-4C7D-8147-634E950AFC1B}">
  <sheetPr codeName="Sheet3"/>
  <dimension ref="A3:B9"/>
  <sheetViews>
    <sheetView workbookViewId="0">
      <selection activeCell="N6" sqref="N6"/>
    </sheetView>
  </sheetViews>
  <sheetFormatPr defaultRowHeight="14.5" x14ac:dyDescent="0.35"/>
  <cols>
    <col min="1" max="1" width="12.36328125" bestFit="1" customWidth="1"/>
    <col min="2" max="2" width="24.81640625" bestFit="1" customWidth="1"/>
  </cols>
  <sheetData>
    <row r="3" spans="1:2" x14ac:dyDescent="0.35">
      <c r="A3" s="3" t="s">
        <v>39</v>
      </c>
      <c r="B3" t="s">
        <v>42</v>
      </c>
    </row>
    <row r="4" spans="1:2" x14ac:dyDescent="0.35">
      <c r="A4" s="4" t="s">
        <v>22</v>
      </c>
      <c r="B4" s="1">
        <v>217500</v>
      </c>
    </row>
    <row r="5" spans="1:2" x14ac:dyDescent="0.35">
      <c r="A5" s="4" t="s">
        <v>25</v>
      </c>
      <c r="B5" s="1">
        <v>46200</v>
      </c>
    </row>
    <row r="6" spans="1:2" x14ac:dyDescent="0.35">
      <c r="A6" s="4" t="s">
        <v>14</v>
      </c>
      <c r="B6" s="1">
        <v>271600</v>
      </c>
    </row>
    <row r="7" spans="1:2" x14ac:dyDescent="0.35">
      <c r="A7" s="4" t="s">
        <v>17</v>
      </c>
      <c r="B7" s="1">
        <v>186000</v>
      </c>
    </row>
    <row r="8" spans="1:2" x14ac:dyDescent="0.35">
      <c r="A8" s="4" t="s">
        <v>40</v>
      </c>
      <c r="B8" s="1">
        <v>108800</v>
      </c>
    </row>
    <row r="9" spans="1:2" x14ac:dyDescent="0.35">
      <c r="A9" s="4" t="s">
        <v>41</v>
      </c>
      <c r="B9" s="1">
        <v>830100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AC4CD-690A-439C-973F-D19EC6DC552F}">
  <sheetPr codeName="Sheet5"/>
  <dimension ref="H1"/>
  <sheetViews>
    <sheetView workbookViewId="0">
      <selection activeCell="H1" sqref="H1"/>
    </sheetView>
  </sheetViews>
  <sheetFormatPr defaultRowHeight="14.5" x14ac:dyDescent="0.35"/>
  <cols>
    <col min="8" max="8" width="45.1796875" bestFit="1" customWidth="1"/>
  </cols>
  <sheetData>
    <row r="1" spans="8:8" s="5" customFormat="1" x14ac:dyDescent="0.35">
      <c r="H1" s="5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Sheet3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Aqsa Sumreen</dc:creator>
  <cp:lastModifiedBy>Aqsa Sumreen</cp:lastModifiedBy>
  <cp:lastPrinted>2026-01-28T17:51:05Z</cp:lastPrinted>
  <dcterms:created xsi:type="dcterms:W3CDTF">2026-01-28T17:19:18Z</dcterms:created>
  <dcterms:modified xsi:type="dcterms:W3CDTF">2026-01-29T11:11:25Z</dcterms:modified>
</cp:coreProperties>
</file>